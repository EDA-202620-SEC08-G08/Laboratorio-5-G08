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teranm\Downloads\"/>
    </mc:Choice>
  </mc:AlternateContent>
  <xr:revisionPtr revIDLastSave="0" documentId="8_{7477F014-8D10-4788-B2E0-F3EB2B74EF4B}" xr6:coauthVersionLast="47" xr6:coauthVersionMax="47" xr10:uidLastSave="{00000000-0000-0000-0000-000000000000}"/>
  <bookViews>
    <workbookView xWindow="-110" yWindow="-110" windowWidth="19420" windowHeight="11500" xr2:uid="{D82936D8-D2C9-4EB2-9CBC-3665F65B95FD}"/>
  </bookViews>
  <sheets>
    <sheet name="01-Data" sheetId="1" r:id="rId1"/>
    <sheet name="02-Array List" sheetId="27" r:id="rId2"/>
    <sheet name="03-Single Linked List" sheetId="28" r:id="rId3"/>
    <sheet name="04-Insertion Sort" sheetId="30" r:id="rId4"/>
    <sheet name="05-Selection Sort" sheetId="29" r:id="rId5"/>
    <sheet name="06-Shell Sort" sheetId="31" r:id="rId6"/>
    <sheet name="07-Merge Sort" sheetId="8" r:id="rId7"/>
    <sheet name="08-Quick Sort" sheetId="14" r:id="rId8"/>
    <sheet name="09-Bests" sheetId="2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29" i="1"/>
  <c r="B25" i="1"/>
  <c r="B26" i="1"/>
  <c r="B27" i="1"/>
  <c r="B28" i="1"/>
  <c r="B30" i="1"/>
  <c r="B31" i="1"/>
  <c r="B32" i="1"/>
  <c r="B14" i="1"/>
  <c r="B19" i="1"/>
  <c r="B3" i="1"/>
  <c r="B20" i="1"/>
  <c r="B17" i="1"/>
  <c r="B15" i="1"/>
  <c r="B6" i="1"/>
  <c r="B4" i="1"/>
  <c r="B5" i="1"/>
  <c r="B7" i="1"/>
  <c r="B8" i="1"/>
  <c r="B9" i="1"/>
  <c r="B10" i="1"/>
  <c r="B18" i="1"/>
  <c r="B21" i="1"/>
</calcChain>
</file>

<file path=xl/sharedStrings.xml><?xml version="1.0" encoding="utf-8"?>
<sst xmlns="http://schemas.openxmlformats.org/spreadsheetml/2006/main" count="34" uniqueCount="25">
  <si>
    <t>Porcentaje de la muestra [pct]</t>
  </si>
  <si>
    <t>Tamaño de la muestra (ARRAY_LIST)</t>
  </si>
  <si>
    <t>Tamaño de la muestra (LINKED_LIST)</t>
  </si>
  <si>
    <t>TIEMPOS DE EJECUCIÓN MEJORES ALGORITMOS [ms]</t>
  </si>
  <si>
    <t xml:space="preserve">Tamaño de la muestra </t>
  </si>
  <si>
    <t>Insertion Sort Array List</t>
  </si>
  <si>
    <t>Selection Sort Array List</t>
  </si>
  <si>
    <t>Shell Sort Array List</t>
  </si>
  <si>
    <t>Merge Sort Array List</t>
  </si>
  <si>
    <t>Quick Sort Array List</t>
  </si>
  <si>
    <t>Insertion Sort Linked List</t>
  </si>
  <si>
    <t>Selection Sort Linked List</t>
  </si>
  <si>
    <t>Shell Sort Linked List</t>
  </si>
  <si>
    <t>Merge Sort Linked List</t>
  </si>
  <si>
    <t>Quick Sort Linked List</t>
  </si>
  <si>
    <t xml:space="preserve">TIEMPOS DE EJECUCIÓN ARRAY LIST  [ms] </t>
  </si>
  <si>
    <t xml:space="preserve">TIEMPOS DE EJECUCIÓN SINGLE LINKED LIST [ms] </t>
  </si>
  <si>
    <t>0.909</t>
  </si>
  <si>
    <t>0.676</t>
  </si>
  <si>
    <t>0.527</t>
  </si>
  <si>
    <t>NO COMPLETADO</t>
  </si>
  <si>
    <t>0.708</t>
  </si>
  <si>
    <t xml:space="preserve">0.312 </t>
  </si>
  <si>
    <t xml:space="preserve">Algoritmo iterativo (Shell_Sort) </t>
  </si>
  <si>
    <t>Algoritmo recursivo (Merge_Sort)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</si>
</sst>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88AEFD"/>
        <bgColor indexed="64"/>
      </patternFill>
    </fill>
    <fill>
      <patternFill patternType="solid">
        <fgColor rgb="FFAEFDF9"/>
        <bgColor indexed="64"/>
      </patternFill>
    </fill>
    <fill>
      <patternFill patternType="solid">
        <fgColor rgb="FFF3B2EE"/>
        <bgColor indexed="64"/>
      </patternFill>
    </fill>
    <fill>
      <patternFill patternType="solid">
        <fgColor theme="0"/>
        <bgColor theme="0" tint="-0.14999847407452621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B2EE"/>
      <color rgb="FFAEFDF9"/>
      <color rgb="FF88AEFD"/>
      <color rgb="FFF4AEC4"/>
      <color rgb="FFF7A497"/>
      <color rgb="FFFFC67C"/>
      <color rgb="FFEBE97C"/>
      <color rgb="FF9EC4F3"/>
      <color rgb="FF97F9C0"/>
      <color rgb="FFE5F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Array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66074</c:v>
                </c:pt>
                <c:pt idx="2">
                  <c:v>215718</c:v>
                </c:pt>
                <c:pt idx="3">
                  <c:v>489975</c:v>
                </c:pt>
                <c:pt idx="4">
                  <c:v>1043697</c:v>
                </c:pt>
                <c:pt idx="5">
                  <c:v>2964883</c:v>
                </c:pt>
                <c:pt idx="6">
                  <c:v>6521623</c:v>
                </c:pt>
                <c:pt idx="7">
                  <c:v>9551063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99-B345-B320-0124A2BF1CBD}"/>
            </c:ext>
          </c:extLst>
        </c:ser>
        <c:ser>
          <c:idx val="0"/>
          <c:order val="1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83391</c:v>
                </c:pt>
                <c:pt idx="2">
                  <c:v>247693</c:v>
                </c:pt>
                <c:pt idx="3">
                  <c:v>638630</c:v>
                </c:pt>
                <c:pt idx="4">
                  <c:v>1489701</c:v>
                </c:pt>
                <c:pt idx="5">
                  <c:v>3999729</c:v>
                </c:pt>
                <c:pt idx="6">
                  <c:v>11720208</c:v>
                </c:pt>
                <c:pt idx="7">
                  <c:v>18221342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9-B345-B320-0124A2BF1CBD}"/>
            </c:ext>
          </c:extLst>
        </c:ser>
        <c:ser>
          <c:idx val="1"/>
          <c:order val="2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99-B345-B320-0124A2BF1CBD}"/>
            </c:ext>
          </c:extLst>
        </c:ser>
        <c:ser>
          <c:idx val="3"/>
          <c:order val="3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3851</c:v>
                </c:pt>
                <c:pt idx="2">
                  <c:v>6674</c:v>
                </c:pt>
                <c:pt idx="3">
                  <c:v>12405</c:v>
                </c:pt>
                <c:pt idx="4">
                  <c:v>21430</c:v>
                </c:pt>
                <c:pt idx="5">
                  <c:v>36208</c:v>
                </c:pt>
                <c:pt idx="6">
                  <c:v>61778</c:v>
                </c:pt>
                <c:pt idx="7">
                  <c:v>80009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99-B345-B320-0124A2BF1CBD}"/>
            </c:ext>
          </c:extLst>
        </c:ser>
        <c:ser>
          <c:idx val="4"/>
          <c:order val="4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3789</c:v>
                </c:pt>
                <c:pt idx="2">
                  <c:v>9902</c:v>
                </c:pt>
                <c:pt idx="3">
                  <c:v>27322</c:v>
                </c:pt>
                <c:pt idx="4">
                  <c:v>49671</c:v>
                </c:pt>
                <c:pt idx="5">
                  <c:v>113630</c:v>
                </c:pt>
                <c:pt idx="6">
                  <c:v>257378</c:v>
                </c:pt>
                <c:pt idx="7">
                  <c:v>362050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99-B345-B320-0124A2BF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en</a:t>
            </a:r>
            <a:r>
              <a:rPr lang="en-US" b="1" baseline="0"/>
              <a:t> Single Linked List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#,##0</c:formatCode>
                <c:ptCount val="8"/>
                <c:pt idx="0">
                  <c:v>2404</c:v>
                </c:pt>
                <c:pt idx="1">
                  <c:v>1203167</c:v>
                </c:pt>
                <c:pt idx="2">
                  <c:v>10315862</c:v>
                </c:pt>
                <c:pt idx="3">
                  <c:v>86629295</c:v>
                </c:pt>
                <c:pt idx="4">
                  <c:v>324655326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58-1640-BEE2-9E386995DA5A}"/>
            </c:ext>
          </c:extLst>
        </c:ser>
        <c:ser>
          <c:idx val="4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#,##0</c:formatCode>
                <c:ptCount val="8"/>
                <c:pt idx="0">
                  <c:v>3847</c:v>
                </c:pt>
                <c:pt idx="1">
                  <c:v>2013530</c:v>
                </c:pt>
                <c:pt idx="2">
                  <c:v>18145788</c:v>
                </c:pt>
                <c:pt idx="3">
                  <c:v>146168670</c:v>
                </c:pt>
                <c:pt idx="4">
                  <c:v>606920850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F58-1640-BEE2-9E386995DA5A}"/>
            </c:ext>
          </c:extLst>
        </c:ser>
        <c:ser>
          <c:idx val="0"/>
          <c:order val="2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#,##0</c:formatCode>
                <c:ptCount val="8"/>
                <c:pt idx="0">
                  <c:v>3085</c:v>
                </c:pt>
                <c:pt idx="1">
                  <c:v>129220</c:v>
                </c:pt>
                <c:pt idx="2">
                  <c:v>575184</c:v>
                </c:pt>
                <c:pt idx="3">
                  <c:v>3059664</c:v>
                </c:pt>
                <c:pt idx="4">
                  <c:v>7563601</c:v>
                </c:pt>
                <c:pt idx="5">
                  <c:v>33293230</c:v>
                </c:pt>
                <c:pt idx="6">
                  <c:v>82993085</c:v>
                </c:pt>
                <c:pt idx="7">
                  <c:v>100258764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F58-1640-BEE2-9E386995DA5A}"/>
            </c:ext>
          </c:extLst>
        </c:ser>
        <c:ser>
          <c:idx val="1"/>
          <c:order val="3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#,##0</c:formatCode>
                <c:ptCount val="8"/>
                <c:pt idx="0">
                  <c:v>1676</c:v>
                </c:pt>
                <c:pt idx="1">
                  <c:v>86411</c:v>
                </c:pt>
                <c:pt idx="2">
                  <c:v>192638</c:v>
                </c:pt>
                <c:pt idx="3">
                  <c:v>443927</c:v>
                </c:pt>
                <c:pt idx="4">
                  <c:v>1526167</c:v>
                </c:pt>
                <c:pt idx="5">
                  <c:v>3688074</c:v>
                </c:pt>
                <c:pt idx="6">
                  <c:v>6465034</c:v>
                </c:pt>
                <c:pt idx="7">
                  <c:v>9149062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F58-1640-BEE2-9E386995DA5A}"/>
            </c:ext>
          </c:extLst>
        </c:ser>
        <c:ser>
          <c:idx val="3"/>
          <c:order val="4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#,##0</c:formatCode>
                <c:ptCount val="8"/>
                <c:pt idx="0">
                  <c:v>1022</c:v>
                </c:pt>
                <c:pt idx="1">
                  <c:v>14060</c:v>
                </c:pt>
                <c:pt idx="2">
                  <c:v>47961</c:v>
                </c:pt>
                <c:pt idx="3">
                  <c:v>119062</c:v>
                </c:pt>
                <c:pt idx="4">
                  <c:v>450383</c:v>
                </c:pt>
                <c:pt idx="5">
                  <c:v>299065</c:v>
                </c:pt>
                <c:pt idx="6">
                  <c:v>353445</c:v>
                </c:pt>
                <c:pt idx="7">
                  <c:v>661643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F58-1640-BEE2-9E386995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Insertion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</c:f>
              <c:strCache>
                <c:ptCount val="1"/>
                <c:pt idx="0">
                  <c:v>Insertion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'01-Data'!$C$3:$C$10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66074</c:v>
                </c:pt>
                <c:pt idx="2">
                  <c:v>215718</c:v>
                </c:pt>
                <c:pt idx="3">
                  <c:v>489975</c:v>
                </c:pt>
                <c:pt idx="4">
                  <c:v>1043697</c:v>
                </c:pt>
                <c:pt idx="5">
                  <c:v>2964883</c:v>
                </c:pt>
                <c:pt idx="6">
                  <c:v>6521623</c:v>
                </c:pt>
                <c:pt idx="7">
                  <c:v>9551063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CC-584A-A8A5-9ED0D12B689E}"/>
            </c:ext>
          </c:extLst>
        </c:ser>
        <c:ser>
          <c:idx val="1"/>
          <c:order val="1"/>
          <c:tx>
            <c:strRef>
              <c:f>'01-Data'!$C$13</c:f>
              <c:strCache>
                <c:ptCount val="1"/>
                <c:pt idx="0">
                  <c:v>Insertion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'01-Data'!$C$14:$C$21</c:f>
              <c:numCache>
                <c:formatCode>#,##0</c:formatCode>
                <c:ptCount val="8"/>
                <c:pt idx="0">
                  <c:v>2404</c:v>
                </c:pt>
                <c:pt idx="1">
                  <c:v>1203167</c:v>
                </c:pt>
                <c:pt idx="2">
                  <c:v>10315862</c:v>
                </c:pt>
                <c:pt idx="3">
                  <c:v>86629295</c:v>
                </c:pt>
                <c:pt idx="4">
                  <c:v>324655326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CC-584A-A8A5-9ED0D12B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'01-Data'!$D$2</c:f>
              <c:strCache>
                <c:ptCount val="1"/>
                <c:pt idx="0">
                  <c:v>Selection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'01-Data'!$D$3:$D$10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83391</c:v>
                </c:pt>
                <c:pt idx="2">
                  <c:v>247693</c:v>
                </c:pt>
                <c:pt idx="3">
                  <c:v>638630</c:v>
                </c:pt>
                <c:pt idx="4">
                  <c:v>1489701</c:v>
                </c:pt>
                <c:pt idx="5">
                  <c:v>3999729</c:v>
                </c:pt>
                <c:pt idx="6">
                  <c:v>11720208</c:v>
                </c:pt>
                <c:pt idx="7">
                  <c:v>18221342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84-C74C-AB00-74A175F36691}"/>
            </c:ext>
          </c:extLst>
        </c:ser>
        <c:ser>
          <c:idx val="1"/>
          <c:order val="1"/>
          <c:tx>
            <c:strRef>
              <c:f>'01-Data'!$D$13</c:f>
              <c:strCache>
                <c:ptCount val="1"/>
                <c:pt idx="0">
                  <c:v>Selection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'01-Data'!$D$14:$D$21</c:f>
              <c:numCache>
                <c:formatCode>#,##0</c:formatCode>
                <c:ptCount val="8"/>
                <c:pt idx="0">
                  <c:v>3847</c:v>
                </c:pt>
                <c:pt idx="1">
                  <c:v>2013530</c:v>
                </c:pt>
                <c:pt idx="2">
                  <c:v>18145788</c:v>
                </c:pt>
                <c:pt idx="3">
                  <c:v>146168670</c:v>
                </c:pt>
                <c:pt idx="4">
                  <c:v>606920850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84-C74C-AB00-74A175F3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'01-Data'!$E$2</c:f>
              <c:strCache>
                <c:ptCount val="1"/>
                <c:pt idx="0">
                  <c:v>Shell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'01-Data'!$E$3:$E$10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37-7D40-BDB1-A7943621B7F2}"/>
            </c:ext>
          </c:extLst>
        </c:ser>
        <c:ser>
          <c:idx val="1"/>
          <c:order val="1"/>
          <c:tx>
            <c:strRef>
              <c:f>'01-Data'!$E$13</c:f>
              <c:strCache>
                <c:ptCount val="1"/>
                <c:pt idx="0">
                  <c:v>Shell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'01-Data'!$E$14:$E$21</c:f>
              <c:numCache>
                <c:formatCode>#,##0</c:formatCode>
                <c:ptCount val="8"/>
                <c:pt idx="0">
                  <c:v>3085</c:v>
                </c:pt>
                <c:pt idx="1">
                  <c:v>129220</c:v>
                </c:pt>
                <c:pt idx="2">
                  <c:v>575184</c:v>
                </c:pt>
                <c:pt idx="3">
                  <c:v>3059664</c:v>
                </c:pt>
                <c:pt idx="4">
                  <c:v>7563601</c:v>
                </c:pt>
                <c:pt idx="5">
                  <c:v>33293230</c:v>
                </c:pt>
                <c:pt idx="6">
                  <c:v>82993085</c:v>
                </c:pt>
                <c:pt idx="7">
                  <c:v>100258764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37-7D40-BDB1-A7943621B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Merge Sort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'01-Data'!$F$2</c:f>
              <c:strCache>
                <c:ptCount val="1"/>
                <c:pt idx="0">
                  <c:v>Merge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'01-Data'!$F$3:$F$10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3851</c:v>
                </c:pt>
                <c:pt idx="2">
                  <c:v>6674</c:v>
                </c:pt>
                <c:pt idx="3">
                  <c:v>12405</c:v>
                </c:pt>
                <c:pt idx="4">
                  <c:v>21430</c:v>
                </c:pt>
                <c:pt idx="5">
                  <c:v>36208</c:v>
                </c:pt>
                <c:pt idx="6">
                  <c:v>61778</c:v>
                </c:pt>
                <c:pt idx="7">
                  <c:v>80009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'01-Data'!$F$13</c:f>
              <c:strCache>
                <c:ptCount val="1"/>
                <c:pt idx="0">
                  <c:v>Merge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'01-Data'!$F$14:$F$21</c:f>
              <c:numCache>
                <c:formatCode>#,##0</c:formatCode>
                <c:ptCount val="8"/>
                <c:pt idx="0">
                  <c:v>1676</c:v>
                </c:pt>
                <c:pt idx="1">
                  <c:v>86411</c:v>
                </c:pt>
                <c:pt idx="2">
                  <c:v>192638</c:v>
                </c:pt>
                <c:pt idx="3">
                  <c:v>443927</c:v>
                </c:pt>
                <c:pt idx="4">
                  <c:v>1526167</c:v>
                </c:pt>
                <c:pt idx="5">
                  <c:v>3688074</c:v>
                </c:pt>
                <c:pt idx="6">
                  <c:v>6465034</c:v>
                </c:pt>
                <c:pt idx="7">
                  <c:v>9149062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'01-Data'!$G$2</c:f>
              <c:strCache>
                <c:ptCount val="1"/>
                <c:pt idx="0">
                  <c:v>Quick Sort Array List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'01-Data'!$G$3:$G$10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3789</c:v>
                </c:pt>
                <c:pt idx="2">
                  <c:v>9902</c:v>
                </c:pt>
                <c:pt idx="3">
                  <c:v>27322</c:v>
                </c:pt>
                <c:pt idx="4">
                  <c:v>49671</c:v>
                </c:pt>
                <c:pt idx="5">
                  <c:v>113630</c:v>
                </c:pt>
                <c:pt idx="6">
                  <c:v>257378</c:v>
                </c:pt>
                <c:pt idx="7">
                  <c:v>362050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'01-Data'!$G$13</c:f>
              <c:strCache>
                <c:ptCount val="1"/>
                <c:pt idx="0">
                  <c:v>Quick Sort Linked List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'01-Data'!$G$14:$G$21</c:f>
              <c:numCache>
                <c:formatCode>#,##0</c:formatCode>
                <c:ptCount val="8"/>
                <c:pt idx="0">
                  <c:v>1022</c:v>
                </c:pt>
                <c:pt idx="1">
                  <c:v>14060</c:v>
                </c:pt>
                <c:pt idx="2">
                  <c:v>47961</c:v>
                </c:pt>
                <c:pt idx="3">
                  <c:v>119062</c:v>
                </c:pt>
                <c:pt idx="4">
                  <c:v>450383</c:v>
                </c:pt>
                <c:pt idx="5">
                  <c:v>299065</c:v>
                </c:pt>
                <c:pt idx="6">
                  <c:v>353445</c:v>
                </c:pt>
                <c:pt idx="7">
                  <c:v>661643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los mejores ordenamientos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'01-Data'!$C$24</c:f>
              <c:strCache>
                <c:ptCount val="1"/>
                <c:pt idx="0">
                  <c:v>Algoritmo iterativo (Shell_Sort)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'01-Data'!$C$25:$C$32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6529</c:v>
                </c:pt>
                <c:pt idx="2">
                  <c:v>16783</c:v>
                </c:pt>
                <c:pt idx="3">
                  <c:v>41480</c:v>
                </c:pt>
                <c:pt idx="4">
                  <c:v>75333</c:v>
                </c:pt>
                <c:pt idx="5">
                  <c:v>97870</c:v>
                </c:pt>
                <c:pt idx="6">
                  <c:v>120551</c:v>
                </c:pt>
                <c:pt idx="7">
                  <c:v>154113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'01-Data'!$D$24</c:f>
              <c:strCache>
                <c:ptCount val="1"/>
                <c:pt idx="0">
                  <c:v>Algoritmo recursivo (Merge_Sort)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'01-Data'!$A$25:$A$32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'01-Data'!$D$26:$D$32</c:f>
              <c:numCache>
                <c:formatCode>#,##0</c:formatCode>
                <c:ptCount val="7"/>
                <c:pt idx="0">
                  <c:v>3851</c:v>
                </c:pt>
                <c:pt idx="1">
                  <c:v>6674</c:v>
                </c:pt>
                <c:pt idx="2">
                  <c:v>12405</c:v>
                </c:pt>
                <c:pt idx="3">
                  <c:v>21430</c:v>
                </c:pt>
                <c:pt idx="4">
                  <c:v>36208</c:v>
                </c:pt>
                <c:pt idx="5">
                  <c:v>61778</c:v>
                </c:pt>
                <c:pt idx="6">
                  <c:v>80009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726E69-05EF-F94F-9733-D104A96D3223}">
  <sheetPr>
    <tabColor rgb="FF9EC4F3"/>
  </sheetPr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E13812-9ADD-0F43-92AA-F0B8767B740B}">
  <sheetPr>
    <tabColor rgb="FFAEFDF9"/>
  </sheetPr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F707E0-7C3F-6144-AF44-0208BC1DF2A5}">
  <sheetPr>
    <tabColor rgb="FF97F9C0"/>
  </sheetPr>
  <sheetViews>
    <sheetView zoomScale="4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350B94-F1CD-0A46-A75A-91055D876A07}">
  <sheetPr>
    <tabColor rgb="FFE5F88A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D92859-590F-6745-B7CA-027B680E4A3C}">
  <sheetPr>
    <tabColor rgb="FFEBE97C"/>
  </sheetPr>
  <sheetViews>
    <sheetView zoomScale="4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rgb="FFFFC67C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rgb="FFF7A497"/>
  </sheetPr>
  <sheetViews>
    <sheetView zoomScale="4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3B2EE"/>
  </sheetPr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D27857-DC27-E5E3-A245-FDC02D9674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555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9B2B2F-5691-4E94-B8FD-4DF712B95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92FAFC-D92F-CA41-F7D8-F3DEB05B4A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82696A-C825-7467-9E8F-207E5A8AB0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396501-4E25-E173-ED33-74369A4821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G10" totalsRowShown="0" headerRowDxfId="26" dataDxfId="25" tableBorderDxfId="24">
  <autoFilter ref="A2:G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7AF2A2F-BC4B-404E-9B8B-256DA178E68B}" name="Porcentaje de la muestra [pct]" dataDxfId="23"/>
    <tableColumn id="2" xr3:uid="{23CECC62-35E0-466E-9502-4F5CC2E6F7A7}" name="Tamaño de la muestra (ARRAY_LIST)" dataDxfId="22">
      <calculatedColumnFormula>Table1[[#This Row],[Porcentaje de la muestra '[pct']]]*10000</calculatedColumnFormula>
    </tableColumn>
    <tableColumn id="3" xr3:uid="{19B1D273-887B-4392-991E-015D36D99E5B}" name="Insertion Sort Array List" dataDxfId="21"/>
    <tableColumn id="4" xr3:uid="{56471E76-DCC6-4EED-8237-BCC256B57E91}" name="Selection Sort Array List" dataDxfId="20"/>
    <tableColumn id="5" xr3:uid="{FDF1E40E-ED06-204B-B917-455DE8107EED}" name="Shell Sort Array List" dataDxfId="19"/>
    <tableColumn id="6" xr3:uid="{E586F32D-4B44-B84C-A99C-280F925FA781}" name="Merge Sort Array List" dataDxfId="18"/>
    <tableColumn id="7" xr3:uid="{E6C94163-D0DC-9E42-A39F-769A20C92F2E}" name="Quick Sort Array List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G21" totalsRowShown="0" headerRowDxfId="16" dataDxfId="14" headerRowBorderDxfId="15">
  <autoFilter ref="A13:G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Insertion Sort Linked List" dataDxfId="11"/>
    <tableColumn id="4" xr3:uid="{A5E99D51-DD73-48A7-AE0D-601A8EE89AFA}" name="Selection Sort Linked List" dataDxfId="10"/>
    <tableColumn id="5" xr3:uid="{A2E3ADDC-6DD2-4948-B1D7-3CE7770DFC65}" name="Shell Sort Linked List" dataDxfId="9"/>
    <tableColumn id="6" xr3:uid="{CE9F6C54-1CFA-E54C-8FB6-7838A5EDD8A3}" name="Merge Sort Linked List" dataDxfId="8"/>
    <tableColumn id="7" xr3:uid="{B636EE2A-F13E-2342-B329-EE5C61F78A76}" name="Quick Sort Linked List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9FC45-711A-7E4A-BD3C-BEB6C9914449}" name="Tabla3" displayName="Tabla3" ref="A24:D32" totalsRowShown="0" headerRowDxfId="6" headerRowBorderDxfId="5" tableBorderDxfId="4">
  <autoFilter ref="A24:D32" xr:uid="{4009FC45-711A-7E4A-BD3C-BEB6C9914449}">
    <filterColumn colId="0" hiddenButton="1"/>
    <filterColumn colId="1" hiddenButton="1"/>
    <filterColumn colId="2" hiddenButton="1"/>
    <filterColumn colId="3" hiddenButton="1"/>
  </autoFilter>
  <tableColumns count="4">
    <tableColumn id="1" xr3:uid="{B41C1FDF-31EB-8245-9B27-55998E13A758}" name="Porcentaje de la muestra [pct]" dataDxfId="3"/>
    <tableColumn id="2" xr3:uid="{A5516E25-E137-844A-8ACE-E872C6D3AF26}" name="Tamaño de la muestra " dataDxfId="2">
      <calculatedColumnFormula>Tabla3[[#This Row],[Porcentaje de la muestra '[pct']]] *10000</calculatedColumnFormula>
    </tableColumn>
    <tableColumn id="3" xr3:uid="{FCABA3BF-6045-0E48-BB37-6E396D6328EB}" name="Algoritmo iterativo (Shell_Sort) " dataDxfId="1"/>
    <tableColumn id="4" xr3:uid="{D7C2D6B9-4643-7546-86E6-D34E7A0D57D5}" name="Algoritmo recursivo (Merge_Sor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sheetPr>
    <tabColor theme="2" tint="-9.9978637043366805E-2"/>
  </sheetPr>
  <dimension ref="A1:H32"/>
  <sheetViews>
    <sheetView tabSelected="1" topLeftCell="B1" zoomScale="54" zoomScaleNormal="113" workbookViewId="0">
      <selection activeCell="E25" sqref="E25"/>
    </sheetView>
  </sheetViews>
  <sheetFormatPr baseColWidth="10" defaultColWidth="8.81640625" defaultRowHeight="14.5"/>
  <cols>
    <col min="1" max="1" width="28.81640625" style="1" customWidth="1"/>
    <col min="2" max="2" width="45.453125" style="1" customWidth="1"/>
    <col min="3" max="3" width="30.6328125" style="1" customWidth="1"/>
    <col min="4" max="4" width="31.1796875" style="1" customWidth="1"/>
    <col min="5" max="5" width="24.453125" style="3" customWidth="1"/>
    <col min="6" max="11" width="24.453125" customWidth="1"/>
  </cols>
  <sheetData>
    <row r="1" spans="1:8" ht="14.25" customHeight="1">
      <c r="A1" s="40" t="s">
        <v>15</v>
      </c>
      <c r="B1" s="41"/>
      <c r="C1" s="41"/>
      <c r="D1" s="41"/>
      <c r="E1" s="41"/>
      <c r="F1" s="41"/>
      <c r="G1" s="41"/>
    </row>
    <row r="2" spans="1:8" s="2" customFormat="1" ht="28.5" thickBot="1">
      <c r="A2" s="6" t="s">
        <v>0</v>
      </c>
      <c r="B2" s="4" t="s">
        <v>1</v>
      </c>
      <c r="C2" s="4" t="s">
        <v>5</v>
      </c>
      <c r="D2" s="4" t="s">
        <v>6</v>
      </c>
      <c r="E2" s="4" t="s">
        <v>7</v>
      </c>
      <c r="F2" s="4" t="s">
        <v>8</v>
      </c>
      <c r="G2" s="13" t="s">
        <v>9</v>
      </c>
    </row>
    <row r="3" spans="1:8" s="2" customFormat="1" ht="14">
      <c r="A3" s="23">
        <v>5.0000000000000001E-3</v>
      </c>
      <c r="B3" s="24">
        <f>Table1[[#This Row],[Porcentaje de la muestra '[pct']]]*10000</f>
        <v>50</v>
      </c>
      <c r="C3" s="25" t="s">
        <v>18</v>
      </c>
      <c r="D3" s="25" t="s">
        <v>17</v>
      </c>
      <c r="E3" s="26" t="s">
        <v>19</v>
      </c>
      <c r="F3" s="26" t="s">
        <v>21</v>
      </c>
      <c r="G3" s="21" t="s">
        <v>22</v>
      </c>
    </row>
    <row r="4" spans="1:8" s="2" customFormat="1" ht="14">
      <c r="A4" s="7">
        <v>0.05</v>
      </c>
      <c r="B4" s="5">
        <f>Table1[[#This Row],[Porcentaje de la muestra '[pct']]]*10000</f>
        <v>500</v>
      </c>
      <c r="C4" s="28">
        <v>66074</v>
      </c>
      <c r="D4" s="28">
        <v>83391</v>
      </c>
      <c r="E4" s="29">
        <v>6529</v>
      </c>
      <c r="F4" s="29">
        <v>3851</v>
      </c>
      <c r="G4" s="33">
        <v>3789</v>
      </c>
    </row>
    <row r="5" spans="1:8">
      <c r="A5" s="7">
        <v>0.1</v>
      </c>
      <c r="B5" s="5">
        <f>Table1[[#This Row],[Porcentaje de la muestra '[pct']]]*10000</f>
        <v>1000</v>
      </c>
      <c r="C5" s="28">
        <v>215718</v>
      </c>
      <c r="D5" s="28">
        <v>247693</v>
      </c>
      <c r="E5" s="29">
        <v>16783</v>
      </c>
      <c r="F5" s="29">
        <v>6674</v>
      </c>
      <c r="G5" s="33">
        <v>9902</v>
      </c>
    </row>
    <row r="6" spans="1:8">
      <c r="A6" s="7">
        <v>0.2</v>
      </c>
      <c r="B6" s="5">
        <f>Table1[[#This Row],[Porcentaje de la muestra '[pct']]]*10000</f>
        <v>2000</v>
      </c>
      <c r="C6" s="28">
        <v>489975</v>
      </c>
      <c r="D6" s="28">
        <v>638630</v>
      </c>
      <c r="E6" s="29">
        <v>41480</v>
      </c>
      <c r="F6" s="29">
        <v>12405</v>
      </c>
      <c r="G6" s="33">
        <v>27322</v>
      </c>
    </row>
    <row r="7" spans="1:8">
      <c r="A7" s="7">
        <v>0.3</v>
      </c>
      <c r="B7" s="5">
        <f>Table1[[#This Row],[Porcentaje de la muestra '[pct']]]*10000</f>
        <v>3000</v>
      </c>
      <c r="C7" s="28">
        <v>1043697</v>
      </c>
      <c r="D7" s="28">
        <v>1489701</v>
      </c>
      <c r="E7" s="29">
        <v>75333</v>
      </c>
      <c r="F7" s="29">
        <v>21430</v>
      </c>
      <c r="G7" s="33">
        <v>49671</v>
      </c>
    </row>
    <row r="8" spans="1:8">
      <c r="A8" s="7">
        <v>0.5</v>
      </c>
      <c r="B8" s="5">
        <f>Table1[[#This Row],[Porcentaje de la muestra '[pct']]]*10000</f>
        <v>5000</v>
      </c>
      <c r="C8" s="28">
        <v>2964883</v>
      </c>
      <c r="D8" s="28">
        <v>3999729</v>
      </c>
      <c r="E8" s="29">
        <v>97870</v>
      </c>
      <c r="F8" s="29">
        <v>36208</v>
      </c>
      <c r="G8" s="33">
        <v>113630</v>
      </c>
    </row>
    <row r="9" spans="1:8">
      <c r="A9" s="7">
        <v>0.8</v>
      </c>
      <c r="B9" s="5">
        <f>Table1[[#This Row],[Porcentaje de la muestra '[pct']]]*10000</f>
        <v>8000</v>
      </c>
      <c r="C9" s="28">
        <v>6521623</v>
      </c>
      <c r="D9" s="28">
        <v>11720208</v>
      </c>
      <c r="E9" s="29">
        <v>120551</v>
      </c>
      <c r="F9" s="29">
        <v>61778</v>
      </c>
      <c r="G9" s="33">
        <v>257378</v>
      </c>
    </row>
    <row r="10" spans="1:8" ht="15" thickBot="1">
      <c r="A10" s="9">
        <v>1</v>
      </c>
      <c r="B10" s="10">
        <f>Table1[[#This Row],[Porcentaje de la muestra '[pct']]]*10000</f>
        <v>10000</v>
      </c>
      <c r="C10" s="30">
        <v>9551063</v>
      </c>
      <c r="D10" s="30">
        <v>18221342</v>
      </c>
      <c r="E10" s="31">
        <v>154113</v>
      </c>
      <c r="F10" s="31">
        <v>80009</v>
      </c>
      <c r="G10" s="35">
        <v>362050</v>
      </c>
    </row>
    <row r="11" spans="1:8">
      <c r="E11"/>
    </row>
    <row r="12" spans="1:8" ht="14.25" customHeight="1" thickBot="1">
      <c r="A12" s="42" t="s">
        <v>16</v>
      </c>
      <c r="B12" s="43"/>
      <c r="C12" s="43"/>
      <c r="D12" s="43"/>
      <c r="E12" s="43"/>
      <c r="F12" s="43"/>
      <c r="G12" s="43"/>
      <c r="H12" s="19"/>
    </row>
    <row r="13" spans="1:8" s="2" customFormat="1" ht="28.5" thickBot="1">
      <c r="A13" s="14" t="s">
        <v>0</v>
      </c>
      <c r="B13" s="15" t="s">
        <v>2</v>
      </c>
      <c r="C13" s="15" t="s">
        <v>10</v>
      </c>
      <c r="D13" s="15" t="s">
        <v>11</v>
      </c>
      <c r="E13" s="15" t="s">
        <v>12</v>
      </c>
      <c r="F13" s="15" t="s">
        <v>13</v>
      </c>
      <c r="G13" s="27" t="s">
        <v>14</v>
      </c>
      <c r="H13" s="4"/>
    </row>
    <row r="14" spans="1:8" s="2" customFormat="1" ht="14">
      <c r="A14" s="7">
        <v>5.0000000000000001E-3</v>
      </c>
      <c r="B14" s="5">
        <f>Table13[[#This Row],[Porcentaje de la muestra '[pct']]]*10000</f>
        <v>50</v>
      </c>
      <c r="C14" s="28">
        <v>2404</v>
      </c>
      <c r="D14" s="28">
        <v>3847</v>
      </c>
      <c r="E14" s="28">
        <v>3085</v>
      </c>
      <c r="F14" s="32">
        <v>1676</v>
      </c>
      <c r="G14" s="33">
        <v>1022</v>
      </c>
      <c r="H14" s="8"/>
    </row>
    <row r="15" spans="1:8" s="2" customFormat="1" ht="14">
      <c r="A15" s="7">
        <v>0.05</v>
      </c>
      <c r="B15" s="5">
        <f>Table13[[#This Row],[Porcentaje de la muestra '[pct']]]*10000</f>
        <v>500</v>
      </c>
      <c r="C15" s="28">
        <v>1203167</v>
      </c>
      <c r="D15" s="28">
        <v>2013530</v>
      </c>
      <c r="E15" s="28">
        <v>129220</v>
      </c>
      <c r="F15" s="32">
        <v>86411</v>
      </c>
      <c r="G15" s="33">
        <v>14060</v>
      </c>
      <c r="H15" s="8"/>
    </row>
    <row r="16" spans="1:8">
      <c r="A16" s="7">
        <v>0.1</v>
      </c>
      <c r="B16" s="5">
        <f>Table13[[#This Row],[Porcentaje de la muestra '[pct']]]*10000</f>
        <v>1000</v>
      </c>
      <c r="C16" s="28">
        <v>10315862</v>
      </c>
      <c r="D16" s="28">
        <v>18145788</v>
      </c>
      <c r="E16" s="28">
        <v>575184</v>
      </c>
      <c r="F16" s="32">
        <v>192638</v>
      </c>
      <c r="G16" s="33">
        <v>47961</v>
      </c>
      <c r="H16" s="8"/>
    </row>
    <row r="17" spans="1:8">
      <c r="A17" s="7">
        <v>0.2</v>
      </c>
      <c r="B17" s="5">
        <f>Table13[[#This Row],[Porcentaje de la muestra '[pct']]]*10000</f>
        <v>2000</v>
      </c>
      <c r="C17" s="28">
        <v>86629295</v>
      </c>
      <c r="D17" s="28">
        <v>146168670</v>
      </c>
      <c r="E17" s="28">
        <v>3059664</v>
      </c>
      <c r="F17" s="32">
        <v>443927</v>
      </c>
      <c r="G17" s="33">
        <v>119062</v>
      </c>
      <c r="H17" s="8"/>
    </row>
    <row r="18" spans="1:8">
      <c r="A18" s="7">
        <v>0.3</v>
      </c>
      <c r="B18" s="5">
        <f>Table13[[#This Row],[Porcentaje de la muestra '[pct']]]*10000</f>
        <v>3000</v>
      </c>
      <c r="C18" s="28">
        <v>324655326</v>
      </c>
      <c r="D18" s="28">
        <v>606920850</v>
      </c>
      <c r="E18" s="28">
        <v>7563601</v>
      </c>
      <c r="F18" s="32">
        <v>1526167</v>
      </c>
      <c r="G18" s="33">
        <v>450383</v>
      </c>
      <c r="H18" s="8"/>
    </row>
    <row r="19" spans="1:8">
      <c r="A19" s="7">
        <v>0.5</v>
      </c>
      <c r="B19" s="5">
        <f>Table13[[#This Row],[Porcentaje de la muestra '[pct']]]*10000</f>
        <v>5000</v>
      </c>
      <c r="C19" s="20" t="s">
        <v>20</v>
      </c>
      <c r="D19" s="20" t="s">
        <v>20</v>
      </c>
      <c r="E19" s="28">
        <v>33293230</v>
      </c>
      <c r="F19" s="32">
        <v>3688074</v>
      </c>
      <c r="G19" s="33">
        <v>299065</v>
      </c>
      <c r="H19" s="8"/>
    </row>
    <row r="20" spans="1:8">
      <c r="A20" s="7">
        <v>0.8</v>
      </c>
      <c r="B20" s="5">
        <f>Table13[[#This Row],[Porcentaje de la muestra '[pct']]]*10000</f>
        <v>8000</v>
      </c>
      <c r="C20" s="20" t="s">
        <v>20</v>
      </c>
      <c r="D20" s="20" t="s">
        <v>20</v>
      </c>
      <c r="E20" s="28">
        <v>82993085</v>
      </c>
      <c r="F20" s="32">
        <v>6465034</v>
      </c>
      <c r="G20" s="33">
        <v>353445</v>
      </c>
      <c r="H20" s="8"/>
    </row>
    <row r="21" spans="1:8" ht="15" thickBot="1">
      <c r="A21" s="9">
        <v>1</v>
      </c>
      <c r="B21" s="10">
        <f>Table13[[#This Row],[Porcentaje de la muestra '[pct']]]*10000</f>
        <v>10000</v>
      </c>
      <c r="C21" s="22" t="s">
        <v>20</v>
      </c>
      <c r="D21" s="22" t="s">
        <v>20</v>
      </c>
      <c r="E21" s="30">
        <v>100258764</v>
      </c>
      <c r="F21" s="34">
        <v>9149062</v>
      </c>
      <c r="G21" s="35">
        <v>661643</v>
      </c>
      <c r="H21" s="8"/>
    </row>
    <row r="22" spans="1:8" ht="15" thickBot="1"/>
    <row r="23" spans="1:8">
      <c r="A23" s="37" t="s">
        <v>3</v>
      </c>
      <c r="B23" s="38"/>
      <c r="C23" s="38"/>
      <c r="D23" s="39"/>
    </row>
    <row r="24" spans="1:8" ht="39" customHeight="1" thickBot="1">
      <c r="A24" s="11" t="s">
        <v>0</v>
      </c>
      <c r="B24" s="11" t="s">
        <v>4</v>
      </c>
      <c r="C24" s="11" t="s">
        <v>23</v>
      </c>
      <c r="D24" s="11" t="s">
        <v>24</v>
      </c>
    </row>
    <row r="25" spans="1:8">
      <c r="A25" s="17">
        <v>5.0000000000000001E-3</v>
      </c>
      <c r="B25" s="12">
        <f>Tabla3[[#This Row],[Porcentaje de la muestra '[pct']]] *10000</f>
        <v>50</v>
      </c>
      <c r="C25" s="16" t="s">
        <v>19</v>
      </c>
      <c r="D25" s="4" t="s">
        <v>21</v>
      </c>
    </row>
    <row r="26" spans="1:8">
      <c r="A26" s="18">
        <v>0.05</v>
      </c>
      <c r="B26" s="5">
        <f>Tabla3[[#This Row],[Porcentaje de la muestra '[pct']]] *10000</f>
        <v>500</v>
      </c>
      <c r="C26" s="32">
        <v>6529</v>
      </c>
      <c r="D26" s="44">
        <v>3851</v>
      </c>
    </row>
    <row r="27" spans="1:8">
      <c r="A27" s="17">
        <v>0.1</v>
      </c>
      <c r="B27" s="12">
        <f>Tabla3[[#This Row],[Porcentaje de la muestra '[pct']]] *10000</f>
        <v>1000</v>
      </c>
      <c r="C27" s="36">
        <v>16783</v>
      </c>
      <c r="D27" s="36">
        <v>6674</v>
      </c>
    </row>
    <row r="28" spans="1:8">
      <c r="A28" s="18">
        <v>0.2</v>
      </c>
      <c r="B28" s="5">
        <f>Tabla3[[#This Row],[Porcentaje de la muestra '[pct']]] *10000</f>
        <v>2000</v>
      </c>
      <c r="C28" s="32">
        <v>41480</v>
      </c>
      <c r="D28" s="32">
        <v>12405</v>
      </c>
    </row>
    <row r="29" spans="1:8">
      <c r="A29" s="17">
        <v>0.3</v>
      </c>
      <c r="B29" s="12">
        <f>Tabla3[[#This Row],[Porcentaje de la muestra '[pct']]] *10000</f>
        <v>3000</v>
      </c>
      <c r="C29" s="36">
        <v>75333</v>
      </c>
      <c r="D29" s="36">
        <v>21430</v>
      </c>
    </row>
    <row r="30" spans="1:8">
      <c r="A30" s="18">
        <v>0.5</v>
      </c>
      <c r="B30" s="5">
        <f>Tabla3[[#This Row],[Porcentaje de la muestra '[pct']]] *10000</f>
        <v>5000</v>
      </c>
      <c r="C30" s="32">
        <v>97870</v>
      </c>
      <c r="D30" s="32">
        <v>36208</v>
      </c>
    </row>
    <row r="31" spans="1:8">
      <c r="A31" s="17">
        <v>0.8</v>
      </c>
      <c r="B31" s="12">
        <f>Tabla3[[#This Row],[Porcentaje de la muestra '[pct']]] *10000</f>
        <v>8000</v>
      </c>
      <c r="C31" s="36">
        <v>120551</v>
      </c>
      <c r="D31" s="36">
        <v>61778</v>
      </c>
    </row>
    <row r="32" spans="1:8">
      <c r="A32" s="18">
        <v>1</v>
      </c>
      <c r="B32" s="5">
        <f>Tabla3[[#This Row],[Porcentaje de la muestra '[pct']]] *10000</f>
        <v>10000</v>
      </c>
      <c r="C32" s="32">
        <v>154113</v>
      </c>
      <c r="D32" s="32">
        <v>80009</v>
      </c>
    </row>
  </sheetData>
  <mergeCells count="3">
    <mergeCell ref="A23:D23"/>
    <mergeCell ref="A1:G1"/>
    <mergeCell ref="A12:G12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8</vt:i4>
      </vt:variant>
    </vt:vector>
  </HeadingPairs>
  <TitlesOfParts>
    <vt:vector size="9" baseType="lpstr">
      <vt:lpstr>01-Data</vt:lpstr>
      <vt:lpstr>02-Array List</vt:lpstr>
      <vt:lpstr>03-Single Linked List</vt:lpstr>
      <vt:lpstr>04-Insertion Sort</vt:lpstr>
      <vt:lpstr>05-Selection Sort</vt:lpstr>
      <vt:lpstr>06-Shell Sort</vt:lpstr>
      <vt:lpstr>07-Merge Sort</vt:lpstr>
      <vt:lpstr>08-Quick Sort</vt:lpstr>
      <vt:lpstr>09-Bests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Katy Teran Mercado</cp:lastModifiedBy>
  <cp:revision/>
  <dcterms:created xsi:type="dcterms:W3CDTF">2021-02-18T03:17:26Z</dcterms:created>
  <dcterms:modified xsi:type="dcterms:W3CDTF">2026-09-21T04:23:11Z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