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teranm\Downloads\"/>
    </mc:Choice>
  </mc:AlternateContent>
  <xr:revisionPtr revIDLastSave="0" documentId="8_{219511F9-CEDC-493E-AE02-F78AB6A170AD}" xr6:coauthVersionLast="47" xr6:coauthVersionMax="47" xr10:uidLastSave="{00000000-0000-0000-0000-000000000000}"/>
  <bookViews>
    <workbookView xWindow="-110" yWindow="-110" windowWidth="19420" windowHeight="11500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9" i="1"/>
  <c r="B25" i="1"/>
  <c r="B26" i="1"/>
  <c r="B27" i="1"/>
  <c r="B28" i="1"/>
  <c r="B30" i="1"/>
  <c r="B31" i="1"/>
  <c r="B32" i="1"/>
  <c r="B14" i="1"/>
  <c r="B19" i="1"/>
  <c r="B3" i="1"/>
  <c r="B20" i="1"/>
  <c r="B17" i="1"/>
  <c r="B15" i="1"/>
  <c r="B6" i="1"/>
  <c r="B4" i="1"/>
  <c r="B5" i="1"/>
  <c r="B7" i="1"/>
  <c r="B8" i="1"/>
  <c r="B9" i="1"/>
  <c r="B10" i="1"/>
  <c r="B18" i="1"/>
  <c r="B21" i="1"/>
</calcChain>
</file>

<file path=xl/sharedStrings.xml><?xml version="1.0" encoding="utf-8"?>
<sst xmlns="http://schemas.openxmlformats.org/spreadsheetml/2006/main" count="33" uniqueCount="25">
  <si>
    <t>Porcentaje de la muestra [pct]</t>
  </si>
  <si>
    <t>Tamaño de la muestra (ARRAY_LIST)</t>
  </si>
  <si>
    <t>Tamaño de la muestra (LINKED_LIST)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</si>
  <si>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</si>
  <si>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</si>
  <si>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</si>
  <si>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</si>
  <si>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</si>
  <si>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</si>
  <si>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</si>
  <si>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</si>
  <si>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</si>
  <si>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</si>
  <si>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</si>
  <si>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</si>
  <si>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</si>
  <si>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</si>
  <si>
    <t>0.909</t>
  </si>
  <si>
    <t>0.676</t>
  </si>
  <si>
    <t>0.527</t>
  </si>
  <si>
    <t>NO COMPLETADO</t>
  </si>
  <si>
    <t>0.708</t>
  </si>
  <si>
    <t xml:space="preserve">0.312 </t>
  </si>
  <si>
    <t>Algoritmo recursivo (Quick_Sort)</t>
  </si>
  <si>
    <t xml:space="preserve">Algoritmo iterativo (Shell_Sort)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</si>
</sst>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66074</c:v>
                </c:pt>
                <c:pt idx="2">
                  <c:v>215718</c:v>
                </c:pt>
                <c:pt idx="3">
                  <c:v>489975</c:v>
                </c:pt>
                <c:pt idx="4">
                  <c:v>1043697</c:v>
                </c:pt>
                <c:pt idx="5">
                  <c:v>2964883</c:v>
                </c:pt>
                <c:pt idx="6">
                  <c:v>6521623</c:v>
                </c:pt>
                <c:pt idx="7">
                  <c:v>9551063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83391</c:v>
                </c:pt>
                <c:pt idx="2">
                  <c:v>247693</c:v>
                </c:pt>
                <c:pt idx="3">
                  <c:v>638630</c:v>
                </c:pt>
                <c:pt idx="4">
                  <c:v>1489701</c:v>
                </c:pt>
                <c:pt idx="5">
                  <c:v>3999729</c:v>
                </c:pt>
                <c:pt idx="6">
                  <c:v>11720208</c:v>
                </c:pt>
                <c:pt idx="7">
                  <c:v>18221342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3851</c:v>
                </c:pt>
                <c:pt idx="2">
                  <c:v>6674</c:v>
                </c:pt>
                <c:pt idx="3">
                  <c:v>12405</c:v>
                </c:pt>
                <c:pt idx="4">
                  <c:v>21430</c:v>
                </c:pt>
                <c:pt idx="5">
                  <c:v>36208</c:v>
                </c:pt>
                <c:pt idx="6">
                  <c:v>61778</c:v>
                </c:pt>
                <c:pt idx="7">
                  <c:v>80009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3789</c:v>
                </c:pt>
                <c:pt idx="2">
                  <c:v>9902</c:v>
                </c:pt>
                <c:pt idx="3">
                  <c:v>27322</c:v>
                </c:pt>
                <c:pt idx="4">
                  <c:v>49671</c:v>
                </c:pt>
                <c:pt idx="5">
                  <c:v>113630</c:v>
                </c:pt>
                <c:pt idx="6">
                  <c:v>257378</c:v>
                </c:pt>
                <c:pt idx="7">
                  <c:v>362050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#,##0</c:formatCode>
                <c:ptCount val="8"/>
                <c:pt idx="0">
                  <c:v>2404</c:v>
                </c:pt>
                <c:pt idx="1">
                  <c:v>1203167</c:v>
                </c:pt>
                <c:pt idx="2">
                  <c:v>10315862</c:v>
                </c:pt>
                <c:pt idx="3">
                  <c:v>86629295</c:v>
                </c:pt>
                <c:pt idx="4">
                  <c:v>324655326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#,##0</c:formatCode>
                <c:ptCount val="8"/>
                <c:pt idx="0">
                  <c:v>3847</c:v>
                </c:pt>
                <c:pt idx="1">
                  <c:v>2013530</c:v>
                </c:pt>
                <c:pt idx="2">
                  <c:v>18145788</c:v>
                </c:pt>
                <c:pt idx="3">
                  <c:v>146168670</c:v>
                </c:pt>
                <c:pt idx="4">
                  <c:v>606920850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#,##0</c:formatCode>
                <c:ptCount val="8"/>
                <c:pt idx="0">
                  <c:v>3085</c:v>
                </c:pt>
                <c:pt idx="1">
                  <c:v>129220</c:v>
                </c:pt>
                <c:pt idx="2">
                  <c:v>575184</c:v>
                </c:pt>
                <c:pt idx="3">
                  <c:v>3059664</c:v>
                </c:pt>
                <c:pt idx="4">
                  <c:v>7563601</c:v>
                </c:pt>
                <c:pt idx="5">
                  <c:v>33293230</c:v>
                </c:pt>
                <c:pt idx="6">
                  <c:v>82993085</c:v>
                </c:pt>
                <c:pt idx="7">
                  <c:v>100258764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#,##0</c:formatCode>
                <c:ptCount val="8"/>
                <c:pt idx="0">
                  <c:v>1676</c:v>
                </c:pt>
                <c:pt idx="1">
                  <c:v>86411</c:v>
                </c:pt>
                <c:pt idx="2">
                  <c:v>192638</c:v>
                </c:pt>
                <c:pt idx="3">
                  <c:v>443927</c:v>
                </c:pt>
                <c:pt idx="4">
                  <c:v>1526167</c:v>
                </c:pt>
                <c:pt idx="5">
                  <c:v>3688074</c:v>
                </c:pt>
                <c:pt idx="6">
                  <c:v>6465034</c:v>
                </c:pt>
                <c:pt idx="7">
                  <c:v>9149062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#,##0</c:formatCode>
                <c:ptCount val="8"/>
                <c:pt idx="0">
                  <c:v>1022</c:v>
                </c:pt>
                <c:pt idx="1">
                  <c:v>14060</c:v>
                </c:pt>
                <c:pt idx="2">
                  <c:v>47961</c:v>
                </c:pt>
                <c:pt idx="3">
                  <c:v>119062</c:v>
                </c:pt>
                <c:pt idx="4">
                  <c:v>450383</c:v>
                </c:pt>
                <c:pt idx="5">
                  <c:v>299065</c:v>
                </c:pt>
                <c:pt idx="6">
                  <c:v>353445</c:v>
                </c:pt>
                <c:pt idx="7">
                  <c:v>661643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66074</c:v>
                </c:pt>
                <c:pt idx="2">
                  <c:v>215718</c:v>
                </c:pt>
                <c:pt idx="3">
                  <c:v>489975</c:v>
                </c:pt>
                <c:pt idx="4">
                  <c:v>1043697</c:v>
                </c:pt>
                <c:pt idx="5">
                  <c:v>2964883</c:v>
                </c:pt>
                <c:pt idx="6">
                  <c:v>6521623</c:v>
                </c:pt>
                <c:pt idx="7">
                  <c:v>9551063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#,##0</c:formatCode>
                <c:ptCount val="8"/>
                <c:pt idx="0">
                  <c:v>2404</c:v>
                </c:pt>
                <c:pt idx="1">
                  <c:v>1203167</c:v>
                </c:pt>
                <c:pt idx="2">
                  <c:v>10315862</c:v>
                </c:pt>
                <c:pt idx="3">
                  <c:v>86629295</c:v>
                </c:pt>
                <c:pt idx="4">
                  <c:v>324655326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83391</c:v>
                </c:pt>
                <c:pt idx="2">
                  <c:v>247693</c:v>
                </c:pt>
                <c:pt idx="3">
                  <c:v>638630</c:v>
                </c:pt>
                <c:pt idx="4">
                  <c:v>1489701</c:v>
                </c:pt>
                <c:pt idx="5">
                  <c:v>3999729</c:v>
                </c:pt>
                <c:pt idx="6">
                  <c:v>11720208</c:v>
                </c:pt>
                <c:pt idx="7">
                  <c:v>18221342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#,##0</c:formatCode>
                <c:ptCount val="8"/>
                <c:pt idx="0">
                  <c:v>3847</c:v>
                </c:pt>
                <c:pt idx="1">
                  <c:v>2013530</c:v>
                </c:pt>
                <c:pt idx="2">
                  <c:v>18145788</c:v>
                </c:pt>
                <c:pt idx="3">
                  <c:v>146168670</c:v>
                </c:pt>
                <c:pt idx="4">
                  <c:v>606920850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#,##0</c:formatCode>
                <c:ptCount val="8"/>
                <c:pt idx="0">
                  <c:v>3085</c:v>
                </c:pt>
                <c:pt idx="1">
                  <c:v>129220</c:v>
                </c:pt>
                <c:pt idx="2">
                  <c:v>575184</c:v>
                </c:pt>
                <c:pt idx="3">
                  <c:v>3059664</c:v>
                </c:pt>
                <c:pt idx="4">
                  <c:v>7563601</c:v>
                </c:pt>
                <c:pt idx="5">
                  <c:v>33293230</c:v>
                </c:pt>
                <c:pt idx="6">
                  <c:v>82993085</c:v>
                </c:pt>
                <c:pt idx="7">
                  <c:v>100258764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3851</c:v>
                </c:pt>
                <c:pt idx="2">
                  <c:v>6674</c:v>
                </c:pt>
                <c:pt idx="3">
                  <c:v>12405</c:v>
                </c:pt>
                <c:pt idx="4">
                  <c:v>21430</c:v>
                </c:pt>
                <c:pt idx="5">
                  <c:v>36208</c:v>
                </c:pt>
                <c:pt idx="6">
                  <c:v>61778</c:v>
                </c:pt>
                <c:pt idx="7">
                  <c:v>80009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#,##0</c:formatCode>
                <c:ptCount val="8"/>
                <c:pt idx="0">
                  <c:v>1676</c:v>
                </c:pt>
                <c:pt idx="1">
                  <c:v>86411</c:v>
                </c:pt>
                <c:pt idx="2">
                  <c:v>192638</c:v>
                </c:pt>
                <c:pt idx="3">
                  <c:v>443927</c:v>
                </c:pt>
                <c:pt idx="4">
                  <c:v>1526167</c:v>
                </c:pt>
                <c:pt idx="5">
                  <c:v>3688074</c:v>
                </c:pt>
                <c:pt idx="6">
                  <c:v>6465034</c:v>
                </c:pt>
                <c:pt idx="7">
                  <c:v>9149062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3789</c:v>
                </c:pt>
                <c:pt idx="2">
                  <c:v>9902</c:v>
                </c:pt>
                <c:pt idx="3">
                  <c:v>27322</c:v>
                </c:pt>
                <c:pt idx="4">
                  <c:v>49671</c:v>
                </c:pt>
                <c:pt idx="5">
                  <c:v>113630</c:v>
                </c:pt>
                <c:pt idx="6">
                  <c:v>257378</c:v>
                </c:pt>
                <c:pt idx="7">
                  <c:v>362050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#,##0</c:formatCode>
                <c:ptCount val="8"/>
                <c:pt idx="0">
                  <c:v>1022</c:v>
                </c:pt>
                <c:pt idx="1">
                  <c:v>14060</c:v>
                </c:pt>
                <c:pt idx="2">
                  <c:v>47961</c:v>
                </c:pt>
                <c:pt idx="3">
                  <c:v>119062</c:v>
                </c:pt>
                <c:pt idx="4">
                  <c:v>450383</c:v>
                </c:pt>
                <c:pt idx="5">
                  <c:v>299065</c:v>
                </c:pt>
                <c:pt idx="6">
                  <c:v>353445</c:v>
                </c:pt>
                <c:pt idx="7">
                  <c:v>661643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(Shell_Sort)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(Quick_Sort)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'01-Data'!$D$25:$D$32</c:f>
              <c:numCache>
                <c:formatCode>#,##0</c:formatCode>
                <c:ptCount val="8"/>
                <c:pt idx="0">
                  <c:v>1022</c:v>
                </c:pt>
                <c:pt idx="1">
                  <c:v>14060</c:v>
                </c:pt>
                <c:pt idx="2">
                  <c:v>47961</c:v>
                </c:pt>
                <c:pt idx="3">
                  <c:v>119062</c:v>
                </c:pt>
                <c:pt idx="4">
                  <c:v>450383</c:v>
                </c:pt>
                <c:pt idx="5">
                  <c:v>299065</c:v>
                </c:pt>
                <c:pt idx="6">
                  <c:v>353445</c:v>
                </c:pt>
                <c:pt idx="7">
                  <c:v>661643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zoomScale="4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zoomScale="4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zoomScale="4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55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22">
      <calculatedColumnFormula>Table1[[#This Row],[Porcentaje de la muestra '[pct']]]*10000</calculatedColumnFormula>
    </tableColumn>
    <tableColumn id="3" xr3:uid="{19B1D273-887B-4392-991E-015D36D99E5B}" name="Insertion Sort Array List" dataDxfId="21"/>
    <tableColumn id="4" xr3:uid="{56471E76-DCC6-4EED-8237-BCC256B57E91}" name="Selection Sort Array List" dataDxfId="20"/>
    <tableColumn id="5" xr3:uid="{FDF1E40E-ED06-204B-B917-455DE8107EED}" name="Shell Sort Array List" dataDxfId="19"/>
    <tableColumn id="6" xr3:uid="{E586F32D-4B44-B84C-A99C-280F925FA781}" name="Merge Sort Array List" dataDxfId="18"/>
    <tableColumn id="7" xr3:uid="{E6C94163-D0DC-9E42-A39F-769A20C92F2E}" name="Quick Sort Array List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16" dataDxfId="14" headerRowBorderDxfId="15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Insertion Sort Linked List" dataDxfId="11"/>
    <tableColumn id="4" xr3:uid="{A5E99D51-DD73-48A7-AE0D-601A8EE89AFA}" name="Selection Sort Linked List" dataDxfId="10"/>
    <tableColumn id="5" xr3:uid="{A2E3ADDC-6DD2-4948-B1D7-3CE7770DFC65}" name="Shell Sort Linked List" dataDxfId="9"/>
    <tableColumn id="6" xr3:uid="{CE9F6C54-1CFA-E54C-8FB6-7838A5EDD8A3}" name="Merge Sort Linked List" dataDxfId="8"/>
    <tableColumn id="7" xr3:uid="{B636EE2A-F13E-2342-B329-EE5C61F78A76}" name="Quick Sort Linked List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6" headerRowBorderDxfId="5" tableBorderDxfId="4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3"/>
    <tableColumn id="2" xr3:uid="{A5516E25-E137-844A-8ACE-E872C6D3AF26}" name="Tamaño de la muestra " dataDxfId="2">
      <calculatedColumnFormula>Tabla3[[#This Row],[Porcentaje de la muestra '[pct']]] *10000</calculatedColumnFormula>
    </tableColumn>
    <tableColumn id="3" xr3:uid="{FCABA3BF-6045-0E48-BB37-6E396D6328EB}" name="Algoritmo iterativo (Shell_Sort) " dataDxfId="1"/>
    <tableColumn id="4" xr3:uid="{D7C2D6B9-4643-7546-86E6-D34E7A0D57D5}" name="Algoritmo recursivo (Quick_Sor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tabSelected="1" zoomScale="69" zoomScaleNormal="113" workbookViewId="0">
      <selection activeCell="F28" sqref="F28"/>
    </sheetView>
  </sheetViews>
  <sheetFormatPr baseColWidth="10" defaultColWidth="8.81640625" defaultRowHeight="14.5"/>
  <cols>
    <col min="1" max="1" width="28.81640625" style="1" customWidth="1"/>
    <col min="2" max="2" width="45.453125" style="1" customWidth="1"/>
    <col min="3" max="3" width="30.6328125" style="1" customWidth="1"/>
    <col min="4" max="4" width="31.1796875" style="1" customWidth="1"/>
    <col min="5" max="5" width="24.453125" style="3" customWidth="1"/>
    <col min="6" max="11" width="24.453125" customWidth="1"/>
  </cols>
  <sheetData>
    <row r="1" spans="1:8" ht="14.25" customHeight="1">
      <c r="A1" s="35" t="s">
        <v>15</v>
      </c>
      <c r="B1" s="36"/>
      <c r="C1" s="36"/>
      <c r="D1" s="36"/>
      <c r="E1" s="36"/>
      <c r="F1" s="36"/>
      <c r="G1" s="36"/>
    </row>
    <row r="2" spans="1:8" s="2" customFormat="1" thickBot="1">
      <c r="A2" s="6" t="s">
        <v>0</v>
      </c>
      <c r="B2" s="4" t="s">
        <v>1</v>
      </c>
      <c r="C2" s="4" t="s">
        <v>5</v>
      </c>
      <c r="D2" s="4" t="s">
        <v>6</v>
      </c>
      <c r="E2" s="4" t="s">
        <v>7</v>
      </c>
      <c r="F2" s="4" t="s">
        <v>8</v>
      </c>
      <c r="G2" s="13" t="s">
        <v>9</v>
      </c>
    </row>
    <row r="3" spans="1:8" s="2" customFormat="1" ht="14">
      <c r="A3" s="23">
        <v>5.0000000000000001E-3</v>
      </c>
      <c r="B3" s="24">
        <f>Table1[[#This Row],[Porcentaje de la muestra '[pct']]]*10000</f>
        <v>50</v>
      </c>
      <c r="C3" s="25" t="s">
        <v>18</v>
      </c>
      <c r="D3" s="25" t="s">
        <v>17</v>
      </c>
      <c r="E3" s="26" t="s">
        <v>19</v>
      </c>
      <c r="F3" s="26" t="s">
        <v>21</v>
      </c>
      <c r="G3" s="21" t="s">
        <v>22</v>
      </c>
    </row>
    <row r="4" spans="1:8" s="2" customFormat="1" ht="14">
      <c r="A4" s="7">
        <v>0.05</v>
      </c>
      <c r="B4" s="5">
        <f>Table1[[#This Row],[Porcentaje de la muestra '[pct']]]*10000</f>
        <v>500</v>
      </c>
      <c r="C4" s="28">
        <v>66074</v>
      </c>
      <c r="D4" s="28">
        <v>83391</v>
      </c>
      <c r="E4" s="29">
        <v>6529</v>
      </c>
      <c r="F4" s="29">
        <v>3851</v>
      </c>
      <c r="G4" s="40">
        <v>3789</v>
      </c>
    </row>
    <row r="5" spans="1:8">
      <c r="A5" s="7">
        <v>0.1</v>
      </c>
      <c r="B5" s="5">
        <f>Table1[[#This Row],[Porcentaje de la muestra '[pct']]]*10000</f>
        <v>1000</v>
      </c>
      <c r="C5" s="28">
        <v>215718</v>
      </c>
      <c r="D5" s="28">
        <v>247693</v>
      </c>
      <c r="E5" s="29">
        <v>16783</v>
      </c>
      <c r="F5" s="29">
        <v>6674</v>
      </c>
      <c r="G5" s="40">
        <v>9902</v>
      </c>
    </row>
    <row r="6" spans="1:8">
      <c r="A6" s="7">
        <v>0.2</v>
      </c>
      <c r="B6" s="5">
        <f>Table1[[#This Row],[Porcentaje de la muestra '[pct']]]*10000</f>
        <v>2000</v>
      </c>
      <c r="C6" s="28">
        <v>489975</v>
      </c>
      <c r="D6" s="28">
        <v>638630</v>
      </c>
      <c r="E6" s="29">
        <v>41480</v>
      </c>
      <c r="F6" s="29">
        <v>12405</v>
      </c>
      <c r="G6" s="40">
        <v>27322</v>
      </c>
    </row>
    <row r="7" spans="1:8">
      <c r="A7" s="7">
        <v>0.3</v>
      </c>
      <c r="B7" s="5">
        <f>Table1[[#This Row],[Porcentaje de la muestra '[pct']]]*10000</f>
        <v>3000</v>
      </c>
      <c r="C7" s="28">
        <v>1043697</v>
      </c>
      <c r="D7" s="28">
        <v>1489701</v>
      </c>
      <c r="E7" s="29">
        <v>75333</v>
      </c>
      <c r="F7" s="29">
        <v>21430</v>
      </c>
      <c r="G7" s="40">
        <v>49671</v>
      </c>
    </row>
    <row r="8" spans="1:8">
      <c r="A8" s="7">
        <v>0.5</v>
      </c>
      <c r="B8" s="5">
        <f>Table1[[#This Row],[Porcentaje de la muestra '[pct']]]*10000</f>
        <v>5000</v>
      </c>
      <c r="C8" s="28">
        <v>2964883</v>
      </c>
      <c r="D8" s="28">
        <v>3999729</v>
      </c>
      <c r="E8" s="29">
        <v>97870</v>
      </c>
      <c r="F8" s="29">
        <v>36208</v>
      </c>
      <c r="G8" s="40">
        <v>113630</v>
      </c>
    </row>
    <row r="9" spans="1:8">
      <c r="A9" s="7">
        <v>0.8</v>
      </c>
      <c r="B9" s="5">
        <f>Table1[[#This Row],[Porcentaje de la muestra '[pct']]]*10000</f>
        <v>8000</v>
      </c>
      <c r="C9" s="28">
        <v>6521623</v>
      </c>
      <c r="D9" s="28">
        <v>11720208</v>
      </c>
      <c r="E9" s="29">
        <v>120551</v>
      </c>
      <c r="F9" s="29">
        <v>61778</v>
      </c>
      <c r="G9" s="40">
        <v>257378</v>
      </c>
    </row>
    <row r="10" spans="1:8" ht="15" thickBot="1">
      <c r="A10" s="9">
        <v>1</v>
      </c>
      <c r="B10" s="10">
        <f>Table1[[#This Row],[Porcentaje de la muestra '[pct']]]*10000</f>
        <v>10000</v>
      </c>
      <c r="C10" s="30">
        <v>9551063</v>
      </c>
      <c r="D10" s="30">
        <v>18221342</v>
      </c>
      <c r="E10" s="31">
        <v>154113</v>
      </c>
      <c r="F10" s="31">
        <v>80009</v>
      </c>
      <c r="G10" s="42">
        <v>362050</v>
      </c>
    </row>
    <row r="11" spans="1:8">
      <c r="E11"/>
    </row>
    <row r="12" spans="1:8" ht="14.25" customHeight="1" thickBot="1">
      <c r="A12" s="37" t="s">
        <v>16</v>
      </c>
      <c r="B12" s="38"/>
      <c r="C12" s="38"/>
      <c r="D12" s="38"/>
      <c r="E12" s="38"/>
      <c r="F12" s="38"/>
      <c r="G12" s="38"/>
      <c r="H12" s="19"/>
    </row>
    <row r="13" spans="1:8" s="2" customFormat="1" thickBot="1">
      <c r="A13" s="14" t="s">
        <v>0</v>
      </c>
      <c r="B13" s="15" t="s">
        <v>2</v>
      </c>
      <c r="C13" s="15" t="s">
        <v>10</v>
      </c>
      <c r="D13" s="15" t="s">
        <v>11</v>
      </c>
      <c r="E13" s="15" t="s">
        <v>12</v>
      </c>
      <c r="F13" s="15" t="s">
        <v>13</v>
      </c>
      <c r="G13" s="27" t="s">
        <v>14</v>
      </c>
      <c r="H13" s="4"/>
    </row>
    <row r="14" spans="1:8" s="2" customFormat="1" ht="14">
      <c r="A14" s="7">
        <v>5.0000000000000001E-3</v>
      </c>
      <c r="B14" s="5">
        <f>Table13[[#This Row],[Porcentaje de la muestra '[pct']]]*10000</f>
        <v>50</v>
      </c>
      <c r="C14" s="28">
        <v>2404</v>
      </c>
      <c r="D14" s="28">
        <v>3847</v>
      </c>
      <c r="E14" s="28">
        <v>3085</v>
      </c>
      <c r="F14" s="39">
        <v>1676</v>
      </c>
      <c r="G14" s="40">
        <v>1022</v>
      </c>
      <c r="H14" s="8"/>
    </row>
    <row r="15" spans="1:8" s="2" customFormat="1" ht="14">
      <c r="A15" s="7">
        <v>0.05</v>
      </c>
      <c r="B15" s="5">
        <f>Table13[[#This Row],[Porcentaje de la muestra '[pct']]]*10000</f>
        <v>500</v>
      </c>
      <c r="C15" s="28">
        <v>1203167</v>
      </c>
      <c r="D15" s="28">
        <v>2013530</v>
      </c>
      <c r="E15" s="28">
        <v>129220</v>
      </c>
      <c r="F15" s="39">
        <v>86411</v>
      </c>
      <c r="G15" s="40">
        <v>14060</v>
      </c>
      <c r="H15" s="8"/>
    </row>
    <row r="16" spans="1:8">
      <c r="A16" s="7">
        <v>0.1</v>
      </c>
      <c r="B16" s="5">
        <f>Table13[[#This Row],[Porcentaje de la muestra '[pct']]]*10000</f>
        <v>1000</v>
      </c>
      <c r="C16" s="28">
        <v>10315862</v>
      </c>
      <c r="D16" s="28">
        <v>18145788</v>
      </c>
      <c r="E16" s="28">
        <v>575184</v>
      </c>
      <c r="F16" s="39">
        <v>192638</v>
      </c>
      <c r="G16" s="40">
        <v>47961</v>
      </c>
      <c r="H16" s="8"/>
    </row>
    <row r="17" spans="1:8">
      <c r="A17" s="7">
        <v>0.2</v>
      </c>
      <c r="B17" s="5">
        <f>Table13[[#This Row],[Porcentaje de la muestra '[pct']]]*10000</f>
        <v>2000</v>
      </c>
      <c r="C17" s="28">
        <v>86629295</v>
      </c>
      <c r="D17" s="28">
        <v>146168670</v>
      </c>
      <c r="E17" s="28">
        <v>3059664</v>
      </c>
      <c r="F17" s="39">
        <v>443927</v>
      </c>
      <c r="G17" s="40">
        <v>119062</v>
      </c>
      <c r="H17" s="8"/>
    </row>
    <row r="18" spans="1:8">
      <c r="A18" s="7">
        <v>0.3</v>
      </c>
      <c r="B18" s="5">
        <f>Table13[[#This Row],[Porcentaje de la muestra '[pct']]]*10000</f>
        <v>3000</v>
      </c>
      <c r="C18" s="28">
        <v>324655326</v>
      </c>
      <c r="D18" s="28">
        <v>606920850</v>
      </c>
      <c r="E18" s="28">
        <v>7563601</v>
      </c>
      <c r="F18" s="39">
        <v>1526167</v>
      </c>
      <c r="G18" s="40">
        <v>450383</v>
      </c>
      <c r="H18" s="8"/>
    </row>
    <row r="19" spans="1:8">
      <c r="A19" s="7">
        <v>0.5</v>
      </c>
      <c r="B19" s="5">
        <f>Table13[[#This Row],[Porcentaje de la muestra '[pct']]]*10000</f>
        <v>5000</v>
      </c>
      <c r="C19" s="20" t="s">
        <v>20</v>
      </c>
      <c r="D19" s="20" t="s">
        <v>20</v>
      </c>
      <c r="E19" s="28">
        <v>33293230</v>
      </c>
      <c r="F19" s="39">
        <v>3688074</v>
      </c>
      <c r="G19" s="40">
        <v>299065</v>
      </c>
      <c r="H19" s="8"/>
    </row>
    <row r="20" spans="1:8">
      <c r="A20" s="7">
        <v>0.8</v>
      </c>
      <c r="B20" s="5">
        <f>Table13[[#This Row],[Porcentaje de la muestra '[pct']]]*10000</f>
        <v>8000</v>
      </c>
      <c r="C20" s="20" t="s">
        <v>20</v>
      </c>
      <c r="D20" s="20" t="s">
        <v>20</v>
      </c>
      <c r="E20" s="28">
        <v>82993085</v>
      </c>
      <c r="F20" s="39">
        <v>6465034</v>
      </c>
      <c r="G20" s="40">
        <v>353445</v>
      </c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2" t="s">
        <v>20</v>
      </c>
      <c r="D21" s="22" t="s">
        <v>20</v>
      </c>
      <c r="E21" s="30">
        <v>100258764</v>
      </c>
      <c r="F21" s="41">
        <v>9149062</v>
      </c>
      <c r="G21" s="42">
        <v>661643</v>
      </c>
      <c r="H21" s="8"/>
    </row>
    <row r="22" spans="1:8" ht="15" thickBot="1"/>
    <row r="23" spans="1:8">
      <c r="A23" s="32" t="s">
        <v>3</v>
      </c>
      <c r="B23" s="33"/>
      <c r="C23" s="33"/>
      <c r="D23" s="34"/>
    </row>
    <row r="24" spans="1:8" ht="39" customHeight="1" thickBot="1">
      <c r="A24" s="11" t="s">
        <v>0</v>
      </c>
      <c r="B24" s="11" t="s">
        <v>4</v>
      </c>
      <c r="C24" s="11" t="s">
        <v>24</v>
      </c>
      <c r="D24" s="11" t="s">
        <v>23</v>
      </c>
    </row>
    <row r="25" spans="1:8">
      <c r="A25" s="17">
        <v>5.0000000000000001E-3</v>
      </c>
      <c r="B25" s="12">
        <f>Tabla3[[#This Row],[Porcentaje de la muestra '[pct']]] *10000</f>
        <v>50</v>
      </c>
      <c r="C25" s="16" t="s">
        <v>19</v>
      </c>
      <c r="D25" s="43">
        <v>1022</v>
      </c>
    </row>
    <row r="26" spans="1:8">
      <c r="A26" s="18">
        <v>0.05</v>
      </c>
      <c r="B26" s="5">
        <f>Tabla3[[#This Row],[Porcentaje de la muestra '[pct']]] *10000</f>
        <v>500</v>
      </c>
      <c r="C26" s="39">
        <v>6529</v>
      </c>
      <c r="D26" s="39">
        <v>14060</v>
      </c>
    </row>
    <row r="27" spans="1:8">
      <c r="A27" s="17">
        <v>0.1</v>
      </c>
      <c r="B27" s="12">
        <f>Tabla3[[#This Row],[Porcentaje de la muestra '[pct']]] *10000</f>
        <v>1000</v>
      </c>
      <c r="C27" s="43">
        <v>16783</v>
      </c>
      <c r="D27" s="43">
        <v>47961</v>
      </c>
    </row>
    <row r="28" spans="1:8">
      <c r="A28" s="18">
        <v>0.2</v>
      </c>
      <c r="B28" s="5">
        <f>Tabla3[[#This Row],[Porcentaje de la muestra '[pct']]] *10000</f>
        <v>2000</v>
      </c>
      <c r="C28" s="39">
        <v>41480</v>
      </c>
      <c r="D28" s="39">
        <v>119062</v>
      </c>
    </row>
    <row r="29" spans="1:8">
      <c r="A29" s="17">
        <v>0.3</v>
      </c>
      <c r="B29" s="12">
        <f>Tabla3[[#This Row],[Porcentaje de la muestra '[pct']]] *10000</f>
        <v>3000</v>
      </c>
      <c r="C29" s="43">
        <v>75333</v>
      </c>
      <c r="D29" s="43">
        <v>450383</v>
      </c>
    </row>
    <row r="30" spans="1:8">
      <c r="A30" s="18">
        <v>0.5</v>
      </c>
      <c r="B30" s="5">
        <f>Tabla3[[#This Row],[Porcentaje de la muestra '[pct']]] *10000</f>
        <v>5000</v>
      </c>
      <c r="C30" s="39">
        <v>97870</v>
      </c>
      <c r="D30" s="39">
        <v>299065</v>
      </c>
    </row>
    <row r="31" spans="1:8">
      <c r="A31" s="17">
        <v>0.8</v>
      </c>
      <c r="B31" s="12">
        <f>Tabla3[[#This Row],[Porcentaje de la muestra '[pct']]] *10000</f>
        <v>8000</v>
      </c>
      <c r="C31" s="43">
        <v>120551</v>
      </c>
      <c r="D31" s="43">
        <v>353445</v>
      </c>
    </row>
    <row r="32" spans="1:8">
      <c r="A32" s="18">
        <v>1</v>
      </c>
      <c r="B32" s="5">
        <f>Tabla3[[#This Row],[Porcentaje de la muestra '[pct']]] *10000</f>
        <v>10000</v>
      </c>
      <c r="C32" s="39">
        <v>154113</v>
      </c>
      <c r="D32" s="39">
        <v>661643</v>
      </c>
    </row>
  </sheetData>
  <mergeCells count="3">
    <mergeCell ref="A23:D23"/>
    <mergeCell ref="A1:G1"/>
    <mergeCell ref="A12:G12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Katy Teran Mercado</cp:lastModifiedBy>
  <cp:revision/>
  <dcterms:created xsi:type="dcterms:W3CDTF">2021-02-18T03:17:26Z</dcterms:created>
  <dcterms:modified xsi:type="dcterms:W3CDTF">2026-09-20T21:19:25Z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